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7d4a6a1c5840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b7a97afd9c340b6"/>
    <x:sheet xmlns:r="http://schemas.openxmlformats.org/officeDocument/2006/relationships" name="Invoices" sheetId="2" r:id="Rc0d879097d304ae7"/>
    <x:sheet xmlns:r="http://schemas.openxmlformats.org/officeDocument/2006/relationships" name="Customers" sheetId="3" r:id="Rb8c0f675d06b4ba7"/>
    <x:sheet xmlns:r="http://schemas.openxmlformats.org/officeDocument/2006/relationships" name="Sales" sheetId="4" r:id="Rd0554be6e88544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 mmm yyyy"/>
    <x:numFmt numFmtId="201" formatCode="&quot;R&quot;#,##0"/>
    <x:numFmt numFmtId="202" formatCode="0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CBD5E1"/>
      <x:name val="Carlito"/>
    </x:font>
    <x:font>
      <x:b/>
      <x:sz val="10"/>
      <x:color rgb="FFFFFFFF"/>
      <x:name val="Aptos"/>
    </x:font>
    <x:font>
      <x:i/>
      <x:sz val="10"/>
      <x:color rgb="FFCBD5E1"/>
      <x:name val="Aptos"/>
    </x:font>
    <x:font>
      <x:sz val="10"/>
      <x:name val="Aptos"/>
    </x:font>
    <x:font>
      <x:b/>
      <x:sz val="20"/>
      <x:color rgb="FFFFFFFF"/>
      <x:name val="Carlito"/>
    </x:font>
    <x:font>
      <x:i/>
      <x:sz val="11"/>
      <x:color rgb="FFCBD5E1"/>
      <x:name val="Carlito"/>
    </x:font>
    <x:font>
      <x:b/>
      <x:sz val="11"/>
      <x:color rgb="FFFFFFFF"/>
      <x:name val="Carlito"/>
    </x:font>
    <x:font>
      <x:b/>
      <x:sz val="22"/>
      <x:color rgb="FF0F172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2563EB"/>
      </x:patternFill>
    </x:fill>
    <x:fill>
      <x:patternFill patternType="solid">
        <x:fgColor rgb="FFF8FAFC"/>
      </x:patternFill>
    </x:fill>
    <x:fill>
      <x:patternFill patternType="solid">
        <x:fgColor rgb="FFD97706"/>
      </x:patternFill>
    </x:fill>
    <x:fill>
      <x:patternFill patternType="solid">
        <x:fgColor rgb="FF16A34A"/>
      </x:patternFill>
    </x:fill>
  </x:fills>
  <x:borders count="8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6" fillId="2" borderId="0" xfId="0" applyNumberFormat="1" applyFont="1" applyFill="1" applyBorder="1"/>
    <x:xf numFmtId="0" fontId="7" fillId="2" borderId="0" xfId="0" applyNumberFormat="1" applyFont="1" applyFill="1" applyBorder="1"/>
    <x:xf numFmtId="0" fontId="0" fillId="3" borderId="0" xfId="0" applyNumberFormat="1" applyFont="1" applyFill="1" applyBorder="1"/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9" fillId="4" borderId="0" xfId="0" applyNumberFormat="1" applyFont="1" applyFill="1" applyBorder="1"/>
    <x:xf numFmtId="0" fontId="9" fillId="4" borderId="1" xfId="0" applyNumberFormat="1" applyFont="1" applyFill="1" applyBorder="1"/>
    <x:xf numFmtId="0" fontId="9" fillId="4" borderId="2" xfId="0" applyNumberFormat="1" applyFont="1" applyFill="1" applyBorder="1"/>
    <x:xf numFmtId="0" fontId="9" fillId="4" borderId="3" xfId="0" applyNumberFormat="1" applyFont="1" applyFill="1" applyBorder="1"/>
    <x:xf numFmtId="0" fontId="9" fillId="4" borderId="4" xfId="0" applyNumberFormat="1" applyFont="1" applyFill="1" applyBorder="1"/>
    <x:xf numFmtId="0" fontId="9" fillId="4" borderId="5" xfId="0" applyNumberFormat="1" applyFont="1" applyFill="1" applyBorder="1"/>
    <x:xf numFmtId="0" fontId="9" fillId="4" borderId="6" xfId="0" applyNumberFormat="1" applyFont="1" applyFill="1" applyBorder="1"/>
    <x:xf numFmtId="0" fontId="9" fillId="4" borderId="1" xfId="0" applyNumberFormat="1" applyFont="1" applyFill="1" applyBorder="1" applyAlignment="1">
      <x:alignment horizontal="center"/>
    </x:xf>
    <x:xf numFmtId="0" fontId="9" fillId="4" borderId="2" xfId="0" applyNumberFormat="1" applyFont="1" applyFill="1" applyBorder="1" applyAlignment="1">
      <x:alignment horizontal="center"/>
    </x:xf>
    <x:xf numFmtId="0" fontId="9" fillId="4" borderId="3" xfId="0" applyNumberFormat="1" applyFont="1" applyFill="1" applyBorder="1" applyAlignment="1">
      <x:alignment horizontal="center"/>
    </x:xf>
    <x:xf numFmtId="0" fontId="9" fillId="4" borderId="4" xfId="0" applyNumberFormat="1" applyFont="1" applyFill="1" applyBorder="1" applyAlignment="1">
      <x:alignment horizontal="center"/>
    </x:xf>
    <x:xf numFmtId="0" fontId="9" fillId="4" borderId="5" xfId="0" applyNumberFormat="1" applyFont="1" applyFill="1" applyBorder="1" applyAlignment="1">
      <x:alignment horizontal="center"/>
    </x:xf>
    <x:xf numFmtId="0" fontId="9" fillId="4" borderId="6" xfId="0" applyNumberFormat="1" applyFont="1" applyFill="1" applyBorder="1" applyAlignment="1">
      <x:alignment horizontal="center"/>
    </x:xf>
    <x:xf numFmtId="0" fontId="9" fillId="4" borderId="1" xfId="0" applyNumberFormat="1" applyFont="1" applyFill="1" applyBorder="1" applyAlignment="1">
      <x:alignment horizontal="center" vertical="center"/>
    </x:xf>
    <x:xf numFmtId="0" fontId="9" fillId="4" borderId="2" xfId="0" applyNumberFormat="1" applyFont="1" applyFill="1" applyBorder="1" applyAlignment="1">
      <x:alignment horizontal="center" vertical="center"/>
    </x:xf>
    <x:xf numFmtId="0" fontId="9" fillId="4" borderId="3" xfId="0" applyNumberFormat="1" applyFont="1" applyFill="1" applyBorder="1" applyAlignment="1">
      <x:alignment horizontal="center" vertical="center"/>
    </x:xf>
    <x:xf numFmtId="0" fontId="9" fillId="4" borderId="4" xfId="0" applyNumberFormat="1" applyFont="1" applyFill="1" applyBorder="1" applyAlignment="1">
      <x:alignment horizontal="center" vertical="center"/>
    </x:xf>
    <x:xf numFmtId="0" fontId="9" fillId="4" borderId="5" xfId="0" applyNumberFormat="1" applyFont="1" applyFill="1" applyBorder="1" applyAlignment="1">
      <x:alignment horizontal="center" vertical="center"/>
    </x:xf>
    <x:xf numFmtId="0" fontId="9" fillId="4" borderId="6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horizontal="center"/>
    </x:xf>
    <x:xf numFmtId="201" fontId="9" fillId="4" borderId="1" xfId="0" applyNumberFormat="1" applyFont="1" applyFill="1" applyBorder="1" applyAlignment="1">
      <x:alignment horizontal="center" vertical="center"/>
    </x:xf>
    <x:xf numFmtId="201" fontId="9" fillId="4" borderId="2" xfId="0" applyNumberFormat="1" applyFont="1" applyFill="1" applyBorder="1" applyAlignment="1">
      <x:alignment horizontal="center" vertical="center"/>
    </x:xf>
    <x:xf numFmtId="201" fontId="9" fillId="4" borderId="3" xfId="0" applyNumberFormat="1" applyFont="1" applyFill="1" applyBorder="1" applyAlignment="1">
      <x:alignment horizontal="center" vertical="center"/>
    </x:xf>
    <x:xf numFmtId="201" fontId="9" fillId="4" borderId="4" xfId="0" applyNumberFormat="1" applyFont="1" applyFill="1" applyBorder="1" applyAlignment="1">
      <x:alignment horizontal="center" vertical="center"/>
    </x:xf>
    <x:xf numFmtId="201" fontId="9" fillId="4" borderId="5" xfId="0" applyNumberFormat="1" applyFont="1" applyFill="1" applyBorder="1" applyAlignment="1">
      <x:alignment horizontal="center" vertical="center"/>
    </x:xf>
    <x:xf numFmtId="201" fontId="9" fillId="4" borderId="6" xfId="0" applyNumberFormat="1" applyFont="1" applyFill="1" applyBorder="1" applyAlignment="1">
      <x:alignment horizontal="center" vertical="center"/>
    </x:xf>
    <x:xf numFmtId="202" fontId="9" fillId="4" borderId="1" xfId="0" applyNumberFormat="1" applyFont="1" applyFill="1" applyBorder="1" applyAlignment="1">
      <x:alignment horizontal="center" vertical="center"/>
    </x:xf>
    <x:xf numFmtId="202" fontId="9" fillId="4" borderId="2" xfId="0" applyNumberFormat="1" applyFont="1" applyFill="1" applyBorder="1" applyAlignment="1">
      <x:alignment horizontal="center" vertical="center"/>
    </x:xf>
    <x:xf numFmtId="202" fontId="9" fillId="4" borderId="3" xfId="0" applyNumberFormat="1" applyFont="1" applyFill="1" applyBorder="1" applyAlignment="1">
      <x:alignment horizontal="center" vertical="center"/>
    </x:xf>
    <x:xf numFmtId="202" fontId="9" fillId="4" borderId="4" xfId="0" applyNumberFormat="1" applyFont="1" applyFill="1" applyBorder="1" applyAlignment="1">
      <x:alignment horizontal="center" vertical="center"/>
    </x:xf>
    <x:xf numFmtId="202" fontId="9" fillId="4" borderId="5" xfId="0" applyNumberFormat="1" applyFont="1" applyFill="1" applyBorder="1" applyAlignment="1">
      <x:alignment horizontal="center" vertical="center"/>
    </x:xf>
    <x:xf numFmtId="202" fontId="9" fillId="4" borderId="6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/>
    <x:xf numFmtId="0" fontId="0" fillId="3" borderId="7" xfId="0" applyNumberFormat="1" applyFont="1" applyFill="1" applyBorder="1"/>
    <x:xf numFmtId="0" fontId="8" fillId="3" borderId="7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  <x:dxfs count="4"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16A34A"/>
      </x:font>
      <x:fill>
        <x:patternFill patternType="solid">
          <x:bgColor rgb="FFDCFCE7"/>
        </x:patternFill>
      </x:fill>
    </x:dxf>
    <x:dxf>
      <x:font>
        <x:b/>
        <x:color rgb="FFD97706"/>
      </x:font>
      <x:fill>
        <x:patternFill patternType="solid">
          <x:bgColor rgb="FFFEF3C7"/>
        </x:patternFill>
      </x:fill>
    </x:dxf>
    <x:dxf>
      <x:font>
        <x:b/>
        <x:color rgb="FF16A34A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53ab8e29cb42c5" /><Relationship Type="http://schemas.openxmlformats.org/officeDocument/2006/relationships/theme" Target="/xl/theme/theme1.xml" Id="R6fb759ed08f2409a" /><Relationship Type="http://schemas.openxmlformats.org/officeDocument/2006/relationships/sharedStrings" Target="/xl/sharedStrings.xml" Id="R60cafa3d0b7d4ae8" /><Relationship Type="http://schemas.openxmlformats.org/officeDocument/2006/relationships/worksheet" Target="/xl/worksheets/sheet1.xml" Id="R0b7a97afd9c340b6" /><Relationship Type="http://schemas.openxmlformats.org/officeDocument/2006/relationships/worksheet" Target="/xl/worksheets/sheet2.xml" Id="Rc0d879097d304ae7" /><Relationship Type="http://schemas.openxmlformats.org/officeDocument/2006/relationships/worksheet" Target="/xl/worksheets/sheet3.xml" Id="Rb8c0f675d06b4ba7" /><Relationship Type="http://schemas.openxmlformats.org/officeDocument/2006/relationships/worksheet" Target="/xl/worksheets/sheet4.xml" Id="Rd0554be6e88544a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30558fdd13c4ab6" /><Relationship Type="http://schemas.openxmlformats.org/officeDocument/2006/relationships/chart" Target="/xl/drawings/charts/chart2.xml" Id="Rb12ee43d9e404f4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by service (R)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Revenue</c:v>
          </c:tx>
          <c:dLbls/>
          <c:cat>
            <c:strRef>
              <c:f>'Dashboard'!$D$10:$D$15</c:f>
              <c:strCache>
                <c:ptCount val="0"/>
              </c:strCache>
            </c:strRef>
          </c:cat>
          <c:val>
            <c:numRef>
              <c:f>'Dashboard'!$E$10:$E$15</c:f>
              <c:numCache>
                <c:formatCode>"R"#,##0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R&quot;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Invoice pipeline</a:t>
            </a:r>
          </a:p>
        </c:rich>
      </c:tx>
      <c:overlay val="0"/>
    </c:title>
    <c:autoTitleDeleted val="0"/>
    <c:plotArea>
      <c:doughnutChart>
        <c:ser>
          <c:idx val="0"/>
          <c:order val="0"/>
          <c:tx>
            <c:v>Count</c:v>
          </c:tx>
          <c:dLbls/>
          <c:cat>
            <c:strRef>
              <c:f>'Dashboard'!$A$10:$A$13</c:f>
              <c:strCache>
                <c:ptCount val="0"/>
              </c:strCache>
            </c:strRef>
          </c:cat>
          <c:val>
            <c:numRef>
              <c:f>'Dashboard'!$B$10:$B$13</c:f>
              <c:numCache>
                <c:formatCode>General</c:formatCode>
                <c:ptCount val="0"/>
              </c:numCache>
            </c:numRef>
          </c:val>
        </c:ser>
        <c:dLbls/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8</xdr:row>
      <xdr:rowOff>0</xdr:rowOff>
    </xdr:from>
    <xdr:to>
      <xdr:col>12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30558fdd13c4ab6"/>
        </a:graphicData>
      </a:graphic>
    </xdr:graphicFrame>
    <xdr:clientData/>
  </xdr:twoCellAnchor>
  <xdr:twoCellAnchor>
    <xdr:from>
      <xdr:col>0</xdr:col>
      <xdr:colOff>0</xdr:colOff>
      <xdr:row>16</xdr:row>
      <xdr:rowOff>0</xdr:rowOff>
    </xdr:from>
    <xdr:to>
      <xdr:col>6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12ee43d9e404f4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voicesTable" displayName="InvoicesTable" ref="A4:H16" headerRowCount="1" totalsRowCount="0" totalsRowShown="0">
  <x:tableColumns count="8">
    <x:tableColumn id="1" name="Invoice"/>
    <x:tableColumn id="2" name="Client"/>
    <x:tableColumn id="3" name="Email"/>
    <x:tableColumn id="4" name="Issued"/>
    <x:tableColumn id="5" name="Due"/>
    <x:tableColumn id="6" name="Amount (R)"/>
    <x:tableColumn id="7" name="Status"/>
    <x:tableColumn id="8" name="Servi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ustomersTable" displayName="CustomersTable" ref="A4:J19" headerRowCount="1" totalsRowCount="0" totalsRowShown="0">
  <x:tableColumns count="10">
    <x:tableColumn id="1" name="Customer ID"/>
    <x:tableColumn id="2" name="Business"/>
    <x:tableColumn id="3" name="Contact"/>
    <x:tableColumn id="4" name="Email"/>
    <x:tableColumn id="5" name="Phone"/>
    <x:tableColumn id="6" name="City"/>
    <x:tableColumn id="7" name="Industry"/>
    <x:tableColumn id="8" name="Status"/>
    <x:tableColumn id="9" name="Added"/>
    <x:tableColumn id="10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alesTable" displayName="SalesTable" ref="A4:F22" headerRowCount="1" totalsRowCount="0" totalsRowShown="0">
  <x:tableColumns count="6">
    <x:tableColumn id="1" name="Date"/>
    <x:tableColumn id="2" name="Client"/>
    <x:tableColumn id="3" name="Service"/>
    <x:tableColumn id="4" name="Revenue (R)"/>
    <x:tableColumn id="5" name="Type"/>
    <x:tableColumn id="6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51492070399457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a0e70b03cc4a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22f7a2c0f864d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1b056b2a8984b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36" customHeight="1">
      <x:c r="A1" s="10" t="str">
        <x:v>DANA AUTOMATES • BUSINESS DASHBOARD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</x:row>
    <x:row r="2">
      <x:c r="A2" s="11" t="str">
        <x:v>Live formulas linked to the invoice, customer and sales sheets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4">
      <x:c r="A4" s="14" t="str">
        <x:v>Total revenue</x:v>
      </x:c>
      <x:c r="B4" s="14"/>
      <x:c r="C4" s="14"/>
      <x:c r="E4" s="37" t="str">
        <x:v>Outstanding invoices</x:v>
      </x:c>
      <x:c r="F4" s="37"/>
      <x:c r="G4" s="37"/>
      <x:c r="I4" s="40" t="str">
        <x:v>Active customers</x:v>
      </x:c>
      <x:c r="J4" s="40"/>
      <x:c r="K4" s="40"/>
    </x:row>
    <x:row r="5">
      <x:c r="A5" s="41" t="n">
        <x:f>SUM('Sales'!D5:D22)</x:f>
        <x:v>37100</x:v>
      </x:c>
      <x:c r="B5" s="42"/>
      <x:c r="C5" s="43"/>
      <x:c r="E5" s="41" t="n">
        <x:f>SUMIF('Invoices'!G5:G16,"&lt;&gt;Paid",'Invoices'!F5:F16)</x:f>
        <x:v>23950</x:v>
      </x:c>
      <x:c r="F5" s="42"/>
      <x:c r="G5" s="43"/>
      <x:c r="I5" s="47" t="n">
        <x:f>COUNTIF('Customers'!H5:H19,"Active")</x:f>
        <x:v>10</x:v>
      </x:c>
      <x:c r="J5" s="48"/>
      <x:c r="K5" s="49"/>
    </x:row>
    <x:row r="6">
      <x:c r="A6" s="44"/>
      <x:c r="B6" s="45"/>
      <x:c r="C6" s="46"/>
      <x:c r="E6" s="44"/>
      <x:c r="F6" s="45"/>
      <x:c r="G6" s="46"/>
      <x:c r="I6" s="50"/>
      <x:c r="J6" s="51"/>
      <x:c r="K6" s="52"/>
    </x:row>
    <x:row r="9">
      <x:c r="A9" s="55" t="str">
        <x:v>Status</x:v>
      </x:c>
      <x:c r="B9" s="55" t="str">
        <x:v>Count</x:v>
      </x:c>
      <x:c r="C9" s="53"/>
      <x:c r="D9" s="55" t="str">
        <x:v>Service</x:v>
      </x:c>
      <x:c r="E9" s="55" t="str">
        <x:v>Revenue</x:v>
      </x:c>
    </x:row>
    <x:row r="10">
      <x:c r="A10" s="53" t="str">
        <x:v>Draft</x:v>
      </x:c>
      <x:c r="B10" s="53" t="n">
        <x:f>COUNTIF('Invoices'!G5:G16,A10)</x:f>
        <x:v>3</x:v>
      </x:c>
      <x:c r="C10" s="53"/>
      <x:c r="D10" s="53" t="str">
        <x:v>Admin Automation</x:v>
      </x:c>
      <x:c r="E10" s="56" t="n">
        <x:f>SUMIF('Sales'!C5:C22,D10,'Sales'!D5:D22)</x:f>
        <x:v>5850</x:v>
      </x:c>
    </x:row>
    <x:row r="11">
      <x:c r="A11" s="53" t="str">
        <x:v>Sent</x:v>
      </x:c>
      <x:c r="B11" s="53" t="n">
        <x:f>COUNTIF('Invoices'!G5:G16,A11)</x:f>
        <x:v>4</x:v>
      </x:c>
      <x:c r="C11" s="53"/>
      <x:c r="D11" s="53" t="str">
        <x:v>Reporting</x:v>
      </x:c>
      <x:c r="E11" s="56" t="n">
        <x:f>SUMIF('Sales'!C5:C22,D11,'Sales'!D5:D22)</x:f>
        <x:v>8000</x:v>
      </x:c>
    </x:row>
    <x:row r="12">
      <x:c r="A12" s="53" t="str">
        <x:v>Paid</x:v>
      </x:c>
      <x:c r="B12" s="53" t="n">
        <x:f>COUNTIF('Invoices'!G5:G16,A12)</x:f>
        <x:v>3</x:v>
      </x:c>
      <x:c r="C12" s="53"/>
      <x:c r="D12" s="53" t="str">
        <x:v>Follow-ups</x:v>
      </x:c>
      <x:c r="E12" s="56" t="n">
        <x:f>SUMIF('Sales'!C5:C22,D12,'Sales'!D5:D22)</x:f>
        <x:v>6700</x:v>
      </x:c>
    </x:row>
    <x:row r="13">
      <x:c r="A13" s="53" t="str">
        <x:v>Overdue</x:v>
      </x:c>
      <x:c r="B13" s="53" t="n">
        <x:f>COUNTIF('Invoices'!G5:G16,A13)</x:f>
        <x:v>2</x:v>
      </x:c>
      <x:c r="C13" s="53"/>
      <x:c r="D13" s="53" t="str">
        <x:v>Data Filing</x:v>
      </x:c>
      <x:c r="E13" s="56" t="n">
        <x:f>SUMIF('Sales'!C5:C22,D13,'Sales'!D5:D22)</x:f>
        <x:v>6050</x:v>
      </x:c>
    </x:row>
    <x:row r="14">
      <x:c r="A14" s="53"/>
      <x:c r="B14" s="53"/>
      <x:c r="C14" s="53"/>
      <x:c r="D14" s="53" t="str">
        <x:v>Dashboard</x:v>
      </x:c>
      <x:c r="E14" s="56" t="n">
        <x:f>SUMIF('Sales'!C5:C22,D14,'Sales'!D5:D22)</x:f>
        <x:v>4800</x:v>
      </x:c>
    </x:row>
    <x:row r="15">
      <x:c r="A15" s="53"/>
      <x:c r="B15" s="53"/>
      <x:c r="C15" s="53"/>
      <x:c r="D15" s="53" t="str">
        <x:v>Other</x:v>
      </x:c>
      <x:c r="E15" s="56" t="n">
        <x:f>SUM('Sales'!D5:D22)-SUM(E10:E14)</x:f>
        <x:v>5700</x:v>
      </x:c>
    </x:row>
  </x:sheetData>
  <x:mergeCells>
    <x:mergeCell ref="A1:L1"/>
    <x:mergeCell ref="A2:L2"/>
    <x:mergeCell ref="A4:C4"/>
    <x:mergeCell ref="A5:C6"/>
    <x:mergeCell ref="E4:G4"/>
    <x:mergeCell ref="E5:G6"/>
    <x:mergeCell ref="I4:K4"/>
    <x:mergeCell ref="I5:K6"/>
  </x:mergeCells>
  <x:pageMargins left="0.7" right="0.7" top="0.75" bottom="0.75" header="0.3" footer="0.3"/>
  <x:drawing xmlns:r="http://schemas.openxmlformats.org/officeDocument/2006/relationships" r:id="R751492070399457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31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7" hidden="0" customWidth="1"/>
  </x:cols>
  <x:sheetData>
    <x:row r="1" ht="26" customHeight="1">
      <x:c r="A1" s="5" t="str">
        <x:v>Invoice Control Centre</x:v>
      </x:c>
      <x:c r="B1" s="5"/>
      <x:c r="C1" s="5"/>
      <x:c r="D1" s="5"/>
      <x:c r="E1" s="5"/>
      <x:c r="F1" s="5"/>
      <x:c r="G1" s="5"/>
      <x:c r="H1" s="5"/>
    </x:row>
    <x:row r="2" ht="26" customHeight="1">
      <x:c r="A2" s="6" t="str">
        <x:v>Realistic accounts-receivable export • editable sample data</x:v>
      </x:c>
      <x:c r="B2" s="6"/>
      <x:c r="C2" s="6"/>
      <x:c r="D2" s="6"/>
      <x:c r="E2" s="6"/>
      <x:c r="F2" s="6"/>
      <x:c r="G2" s="6"/>
      <x:c r="H2" s="6"/>
    </x:row>
    <x:row r="3">
      <x:c r="A3" s="7"/>
      <x:c r="B3" s="7"/>
      <x:c r="C3" s="7"/>
      <x:c r="D3" s="7"/>
      <x:c r="E3" s="7"/>
      <x:c r="F3" s="7"/>
      <x:c r="G3" s="7"/>
      <x:c r="H3" s="7"/>
    </x:row>
    <x:row r="4" ht="28" customHeight="1">
      <x:c r="A4" s="7" t="str">
        <x:v>Invoice</x:v>
      </x:c>
      <x:c r="B4" s="7" t="str">
        <x:v>Client</x:v>
      </x:c>
      <x:c r="C4" s="7" t="str">
        <x:v>Email</x:v>
      </x:c>
      <x:c r="D4" s="7" t="str">
        <x:v>Issued</x:v>
      </x:c>
      <x:c r="E4" s="7" t="str">
        <x:v>Due</x:v>
      </x:c>
      <x:c r="F4" s="7" t="str">
        <x:v>Amount (R)</x:v>
      </x:c>
      <x:c r="G4" s="7" t="str">
        <x:v>Status</x:v>
      </x:c>
      <x:c r="H4" s="7" t="str">
        <x:v>Service</x:v>
      </x:c>
    </x:row>
    <x:row r="5">
      <x:c r="A5" s="7" t="str">
        <x:v>INV-2026-041</x:v>
      </x:c>
      <x:c r="B5" s="7" t="str">
        <x:v>Mokoena Repairs</x:v>
      </x:c>
      <x:c r="C5" s="7" t="str">
        <x:v>accounts@mokoenarepairs.example</x:v>
      </x:c>
      <x:c r="D5" s="8" t="n">
        <x:v>46185</x:v>
      </x:c>
      <x:c r="E5" s="8" t="n">
        <x:v>46199</x:v>
      </x:c>
      <x:c r="F5" s="9" t="n">
        <x:v>4250</x:v>
      </x:c>
      <x:c r="G5" s="7" t="str">
        <x:v>Overdue</x:v>
      </x:c>
      <x:c r="H5" s="7" t="str">
        <x:v>Website maintenance</x:v>
      </x:c>
    </x:row>
    <x:row r="6">
      <x:c r="A6" s="7" t="str">
        <x:v>INV-2026-042</x:v>
      </x:c>
      <x:c r="B6" s="7" t="str">
        <x:v>Northside Hair Studio</x:v>
      </x:c>
      <x:c r="C6" s="7" t="str">
        <x:v>owner@northsidehair.example</x:v>
      </x:c>
      <x:c r="D6" s="8" t="n">
        <x:v>46191</x:v>
      </x:c>
      <x:c r="E6" s="8" t="n">
        <x:v>46205</x:v>
      </x:c>
      <x:c r="F6" s="9" t="n">
        <x:v>1850</x:v>
      </x:c>
      <x:c r="G6" s="7" t="str">
        <x:v>Overdue</x:v>
      </x:c>
      <x:c r="H6" s="7" t="str">
        <x:v>Booking reminder setup</x:v>
      </x:c>
    </x:row>
    <x:row r="7">
      <x:c r="A7" s="7" t="str">
        <x:v>INV-2026-043</x:v>
      </x:c>
      <x:c r="B7" s="7" t="str">
        <x:v>Cape Active Fitness</x:v>
      </x:c>
      <x:c r="C7" s="7" t="str">
        <x:v>admin@capeactive.example</x:v>
      </x:c>
      <x:c r="D7" s="8" t="n">
        <x:v>46195</x:v>
      </x:c>
      <x:c r="E7" s="8" t="n">
        <x:v>46209</x:v>
      </x:c>
      <x:c r="F7" s="9" t="n">
        <x:v>3200</x:v>
      </x:c>
      <x:c r="G7" s="7" t="str">
        <x:v>Sent</x:v>
      </x:c>
      <x:c r="H7" s="7" t="str">
        <x:v>Member report automation</x:v>
      </x:c>
    </x:row>
    <x:row r="8">
      <x:c r="A8" s="7" t="str">
        <x:v>INV-2026-044</x:v>
      </x:c>
      <x:c r="B8" s="7" t="str">
        <x:v>Ubuntu Plumbing</x:v>
      </x:c>
      <x:c r="C8" s="7" t="str">
        <x:v>office@ubuntuplumbing.example</x:v>
      </x:c>
      <x:c r="D8" s="8" t="n">
        <x:v>46198</x:v>
      </x:c>
      <x:c r="E8" s="8" t="n">
        <x:v>46212</x:v>
      </x:c>
      <x:c r="F8" s="9" t="n">
        <x:v>950</x:v>
      </x:c>
      <x:c r="G8" s="7" t="str">
        <x:v>Sent</x:v>
      </x:c>
      <x:c r="H8" s="7" t="str">
        <x:v>Quote template workflow</x:v>
      </x:c>
    </x:row>
    <x:row r="9">
      <x:c r="A9" s="7" t="str">
        <x:v>INV-2026-045</x:v>
      </x:c>
      <x:c r="B9" s="7" t="str">
        <x:v>Greenleaf Guesthouse</x:v>
      </x:c>
      <x:c r="C9" s="7" t="str">
        <x:v>bookings@greenleaf.example</x:v>
      </x:c>
      <x:c r="D9" s="8" t="n">
        <x:v>46200</x:v>
      </x:c>
      <x:c r="E9" s="8" t="n">
        <x:v>46214</x:v>
      </x:c>
      <x:c r="F9" s="9" t="n">
        <x:v>2100</x:v>
      </x:c>
      <x:c r="G9" s="7" t="str">
        <x:v>Paid</x:v>
      </x:c>
      <x:c r="H9" s="7" t="str">
        <x:v>Review request sequence</x:v>
      </x:c>
    </x:row>
    <x:row r="10">
      <x:c r="A10" s="7" t="str">
        <x:v>INV-2026-046</x:v>
      </x:c>
      <x:c r="B10" s="7" t="str">
        <x:v>Jozi Auto Care</x:v>
      </x:c>
      <x:c r="C10" s="7" t="str">
        <x:v>service@joziauto.example</x:v>
      </x:c>
      <x:c r="D10" s="8" t="n">
        <x:v>46201</x:v>
      </x:c>
      <x:c r="E10" s="8" t="n">
        <x:v>46215</x:v>
      </x:c>
      <x:c r="F10" s="9" t="n">
        <x:v>2750</x:v>
      </x:c>
      <x:c r="G10" s="7" t="str">
        <x:v>Paid</x:v>
      </x:c>
      <x:c r="H10" s="7" t="str">
        <x:v>Customer follow-up system</x:v>
      </x:c>
    </x:row>
    <x:row r="11">
      <x:c r="A11" s="7" t="str">
        <x:v>INV-2026-047</x:v>
      </x:c>
      <x:c r="B11" s="7" t="str">
        <x:v>Lerato Events</x:v>
      </x:c>
      <x:c r="C11" s="7" t="str">
        <x:v>hello@leratoevents.example</x:v>
      </x:c>
      <x:c r="D11" s="8" t="n">
        <x:v>46204</x:v>
      </x:c>
      <x:c r="E11" s="8" t="n">
        <x:v>46218</x:v>
      </x:c>
      <x:c r="F11" s="9" t="n">
        <x:v>1450</x:v>
      </x:c>
      <x:c r="G11" s="7" t="str">
        <x:v>Draft</x:v>
      </x:c>
      <x:c r="H11" s="7" t="str">
        <x:v>Lead spreadsheet cleanup</x:v>
      </x:c>
    </x:row>
    <x:row r="12">
      <x:c r="A12" s="7" t="str">
        <x:v>INV-2026-048</x:v>
      </x:c>
      <x:c r="B12" s="7" t="str">
        <x:v>West Coast Tutors</x:v>
      </x:c>
      <x:c r="C12" s="7" t="str">
        <x:v>admin@westcoasttutors.example</x:v>
      </x:c>
      <x:c r="D12" s="8" t="n">
        <x:v>46205</x:v>
      </x:c>
      <x:c r="E12" s="8" t="n">
        <x:v>46219</x:v>
      </x:c>
      <x:c r="F12" s="9" t="n">
        <x:v>3600</x:v>
      </x:c>
      <x:c r="G12" s="7" t="str">
        <x:v>Draft</x:v>
      </x:c>
      <x:c r="H12" s="7" t="str">
        <x:v>Weekly progress reports</x:v>
      </x:c>
    </x:row>
    <x:row r="13">
      <x:c r="A13" s="7" t="str">
        <x:v>INV-2026-049</x:v>
      </x:c>
      <x:c r="B13" s="7" t="str">
        <x:v>Khayelitsha Kitchens</x:v>
      </x:c>
      <x:c r="C13" s="7" t="str">
        <x:v>orders@kkitchens.example</x:v>
      </x:c>
      <x:c r="D13" s="8" t="n">
        <x:v>46206</x:v>
      </x:c>
      <x:c r="E13" s="8" t="n">
        <x:v>46220</x:v>
      </x:c>
      <x:c r="F13" s="9" t="n">
        <x:v>1250</x:v>
      </x:c>
      <x:c r="G13" s="7" t="str">
        <x:v>Paid</x:v>
      </x:c>
      <x:c r="H13" s="7" t="str">
        <x:v>Order filing workflow</x:v>
      </x:c>
    </x:row>
    <x:row r="14">
      <x:c r="A14" s="7" t="str">
        <x:v>INV-2026-050</x:v>
      </x:c>
      <x:c r="B14" s="7" t="str">
        <x:v>Pretoria Pet Care</x:v>
      </x:c>
      <x:c r="C14" s="7" t="str">
        <x:v>care@pretoriapets.example</x:v>
      </x:c>
      <x:c r="D14" s="8" t="n">
        <x:v>46207</x:v>
      </x:c>
      <x:c r="E14" s="8" t="n">
        <x:v>46221</x:v>
      </x:c>
      <x:c r="F14" s="9" t="n">
        <x:v>2200</x:v>
      </x:c>
      <x:c r="G14" s="7" t="str">
        <x:v>Sent</x:v>
      </x:c>
      <x:c r="H14" s="7" t="str">
        <x:v>Appointment reminders</x:v>
      </x:c>
    </x:row>
    <x:row r="15">
      <x:c r="A15" s="7" t="str">
        <x:v>INV-2026-051</x:v>
      </x:c>
      <x:c r="B15" s="7" t="str">
        <x:v>Vuka Consulting</x:v>
      </x:c>
      <x:c r="C15" s="7" t="str">
        <x:v>team@vukaconsulting.example</x:v>
      </x:c>
      <x:c r="D15" s="8" t="n">
        <x:v>46208</x:v>
      </x:c>
      <x:c r="E15" s="8" t="n">
        <x:v>46222</x:v>
      </x:c>
      <x:c r="F15" s="9" t="n">
        <x:v>4800</x:v>
      </x:c>
      <x:c r="G15" s="7" t="str">
        <x:v>Draft</x:v>
      </x:c>
      <x:c r="H15" s="7" t="str">
        <x:v>Client reporting dashboard</x:v>
      </x:c>
    </x:row>
    <x:row r="16">
      <x:c r="A16" s="7" t="str">
        <x:v>INV-2026-052</x:v>
      </x:c>
      <x:c r="B16" s="7" t="str">
        <x:v>Durban Design Co</x:v>
      </x:c>
      <x:c r="C16" s="7" t="str">
        <x:v>studio@durbandesign.example</x:v>
      </x:c>
      <x:c r="D16" s="8" t="n">
        <x:v>46209</x:v>
      </x:c>
      <x:c r="E16" s="8" t="n">
        <x:v>46223</x:v>
      </x:c>
      <x:c r="F16" s="9" t="n">
        <x:v>1650</x:v>
      </x:c>
      <x:c r="G16" s="7" t="str">
        <x:v>Sent</x:v>
      </x:c>
      <x:c r="H16" s="7" t="str">
        <x:v>Asset filing automation</x:v>
      </x:c>
    </x:row>
  </x:sheetData>
  <x:mergeCells>
    <x:mergeCell ref="A1:H1"/>
    <x:mergeCell ref="A2:H2"/>
  </x:mergeCells>
  <x:conditionalFormatting sqref="G5:G16">
    <x:cfRule type="containsText" dxfId="0" priority="1" operator="containsText" text="Overdue"/>
    <x:cfRule type="containsText" dxfId="1" priority="2" operator="containsText" text="Paid"/>
  </x:conditionalFormatting>
  <x:dataValidations count="1">
    <x:dataValidation type="list" sqref="G5:G16">
      <x:formula1>"Draft,Sent,Paid,Overdue"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da0e70b03cc4a2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20" hidden="0" customWidth="1"/>
    <x:col min="4" max="4" width="31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1" hidden="0" customWidth="1"/>
  </x:cols>
  <x:sheetData>
    <x:row r="1" ht="26" customHeight="1">
      <x:c r="A1" s="5" t="str">
        <x:v>Customer CRM Export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6" customHeight="1">
      <x:c r="A2" s="6" t="str">
        <x:v>A practical lead and customer list with clean, usable fields</x:v>
      </x:c>
      <x:c r="B2" s="6"/>
      <x:c r="C2" s="6"/>
      <x:c r="D2" s="6"/>
      <x:c r="E2" s="6"/>
      <x:c r="F2" s="6"/>
      <x:c r="G2" s="6"/>
      <x:c r="H2" s="6"/>
      <x:c r="I2" s="7"/>
      <x:c r="J2" s="7"/>
    </x:row>
    <x:row r="3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4" ht="28" customHeight="1">
      <x:c r="A4" s="7" t="str">
        <x:v>Customer ID</x:v>
      </x:c>
      <x:c r="B4" s="7" t="str">
        <x:v>Business</x:v>
      </x:c>
      <x:c r="C4" s="7" t="str">
        <x:v>Contact</x:v>
      </x:c>
      <x:c r="D4" s="7" t="str">
        <x:v>Email</x:v>
      </x:c>
      <x:c r="E4" s="7" t="str">
        <x:v>Phone</x:v>
      </x:c>
      <x:c r="F4" s="7" t="str">
        <x:v>City</x:v>
      </x:c>
      <x:c r="G4" s="7" t="str">
        <x:v>Industry</x:v>
      </x:c>
      <x:c r="H4" s="7" t="str">
        <x:v>Status</x:v>
      </x:c>
      <x:c r="I4" s="7" t="str">
        <x:v>Added</x:v>
      </x:c>
      <x:c r="J4" s="7" t="str">
        <x:v>Notes</x:v>
      </x:c>
    </x:row>
    <x:row r="5">
      <x:c r="A5" s="7" t="str">
        <x:v>C-001</x:v>
      </x:c>
      <x:c r="B5" s="7" t="str">
        <x:v>Mokoena Repairs</x:v>
      </x:c>
      <x:c r="C5" s="7" t="str">
        <x:v>Thabo Mokoena</x:v>
      </x:c>
      <x:c r="D5" s="7" t="str">
        <x:v>thabo@mokoenarepairs.example</x:v>
      </x:c>
      <x:c r="E5" s="7" t="str">
        <x:v>082 555 0141</x:v>
      </x:c>
      <x:c r="F5" s="7" t="str">
        <x:v>Johannesburg</x:v>
      </x:c>
      <x:c r="G5" s="7" t="str">
        <x:v>Home Services</x:v>
      </x:c>
      <x:c r="H5" s="7" t="str">
        <x:v>Active</x:v>
      </x:c>
      <x:c r="I5" s="8" t="n">
        <x:v>46093</x:v>
      </x:c>
      <x:c r="J5" s="7" t="str">
        <x:v>Prefers email after 15:00</x:v>
      </x:c>
    </x:row>
    <x:row r="6">
      <x:c r="A6" s="7" t="str">
        <x:v>C-002</x:v>
      </x:c>
      <x:c r="B6" s="7" t="str">
        <x:v>Northside Hair Studio</x:v>
      </x:c>
      <x:c r="C6" s="7" t="str">
        <x:v>Naledi Khumalo</x:v>
      </x:c>
      <x:c r="D6" s="7" t="str">
        <x:v>naledi@northsidehair.example</x:v>
      </x:c>
      <x:c r="E6" s="7" t="str">
        <x:v>083 214 7780</x:v>
      </x:c>
      <x:c r="F6" s="7" t="str">
        <x:v>Pretoria</x:v>
      </x:c>
      <x:c r="G6" s="7" t="str">
        <x:v>Beauty</x:v>
      </x:c>
      <x:c r="H6" s="7" t="str">
        <x:v>Active</x:v>
      </x:c>
      <x:c r="I6" s="8" t="n">
        <x:v>46106</x:v>
      </x:c>
      <x:c r="J6" s="7" t="str">
        <x:v>Interested in no-show reduction</x:v>
      </x:c>
    </x:row>
    <x:row r="7">
      <x:c r="A7" s="7" t="str">
        <x:v>C-003</x:v>
      </x:c>
      <x:c r="B7" s="7" t="str">
        <x:v>Cape Active Fitness</x:v>
      </x:c>
      <x:c r="C7" s="7" t="str">
        <x:v>Michael Daniels</x:v>
      </x:c>
      <x:c r="D7" s="7" t="str">
        <x:v>michael@capeactive.example</x:v>
      </x:c>
      <x:c r="E7" s="7" t="str">
        <x:v>072 640 2281</x:v>
      </x:c>
      <x:c r="F7" s="7" t="str">
        <x:v>Cape Town</x:v>
      </x:c>
      <x:c r="G7" s="7" t="str">
        <x:v>Fitness</x:v>
      </x:c>
      <x:c r="H7" s="7" t="str">
        <x:v>Active</x:v>
      </x:c>
      <x:c r="I7" s="8" t="n">
        <x:v>46115</x:v>
      </x:c>
      <x:c r="J7" s="7" t="str">
        <x:v>Monthly membership reporting</x:v>
      </x:c>
    </x:row>
    <x:row r="8">
      <x:c r="A8" s="7" t="str">
        <x:v>C-004</x:v>
      </x:c>
      <x:c r="B8" s="7" t="str">
        <x:v>Ubuntu Plumbing</x:v>
      </x:c>
      <x:c r="C8" s="7" t="str">
        <x:v>Sibusiso Dlamini</x:v>
      </x:c>
      <x:c r="D8" s="7" t="str">
        <x:v>sibusiso@ubuntuplumbing.example</x:v>
      </x:c>
      <x:c r="E8" s="7" t="str">
        <x:v>079 323 1055</x:v>
      </x:c>
      <x:c r="F8" s="7" t="str">
        <x:v>Johannesburg</x:v>
      </x:c>
      <x:c r="G8" s="7" t="str">
        <x:v>Home Services</x:v>
      </x:c>
      <x:c r="H8" s="7" t="str">
        <x:v>Lead</x:v>
      </x:c>
      <x:c r="I8" s="8" t="n">
        <x:v>46130</x:v>
      </x:c>
      <x:c r="J8" s="7" t="str">
        <x:v>Needs faster quote turnaround</x:v>
      </x:c>
    </x:row>
    <x:row r="9">
      <x:c r="A9" s="7" t="str">
        <x:v>C-005</x:v>
      </x:c>
      <x:c r="B9" s="7" t="str">
        <x:v>Greenleaf Guesthouse</x:v>
      </x:c>
      <x:c r="C9" s="7" t="str">
        <x:v>Amelia Botha</x:v>
      </x:c>
      <x:c r="D9" s="7" t="str">
        <x:v>amelia@greenleaf.example</x:v>
      </x:c>
      <x:c r="E9" s="7" t="str">
        <x:v>076 889 4320</x:v>
      </x:c>
      <x:c r="F9" s="7" t="str">
        <x:v>Stellenbosch</x:v>
      </x:c>
      <x:c r="G9" s="7" t="str">
        <x:v>Hospitality</x:v>
      </x:c>
      <x:c r="H9" s="7" t="str">
        <x:v>Active</x:v>
      </x:c>
      <x:c r="I9" s="8" t="n">
        <x:v>46141</x:v>
      </x:c>
      <x:c r="J9" s="7" t="str">
        <x:v>Seasonal booking volume</x:v>
      </x:c>
    </x:row>
    <x:row r="10">
      <x:c r="A10" s="7" t="str">
        <x:v>C-006</x:v>
      </x:c>
      <x:c r="B10" s="7" t="str">
        <x:v>Jozi Auto Care</x:v>
      </x:c>
      <x:c r="C10" s="7" t="str">
        <x:v>Kagiso Molefe</x:v>
      </x:c>
      <x:c r="D10" s="7" t="str">
        <x:v>kagiso@joziauto.example</x:v>
      </x:c>
      <x:c r="E10" s="7" t="str">
        <x:v>081 775 9204</x:v>
      </x:c>
      <x:c r="F10" s="7" t="str">
        <x:v>Johannesburg</x:v>
      </x:c>
      <x:c r="G10" s="7" t="str">
        <x:v>Automotive</x:v>
      </x:c>
      <x:c r="H10" s="7" t="str">
        <x:v>Active</x:v>
      </x:c>
      <x:c r="I10" s="8" t="n">
        <x:v>46144</x:v>
      </x:c>
      <x:c r="J10" s="7" t="str">
        <x:v>Service reminders every 6 months</x:v>
      </x:c>
    </x:row>
    <x:row r="11">
      <x:c r="A11" s="7" t="str">
        <x:v>C-007</x:v>
      </x:c>
      <x:c r="B11" s="7" t="str">
        <x:v>Lerato Events</x:v>
      </x:c>
      <x:c r="C11" s="7" t="str">
        <x:v>Lerato Ncube</x:v>
      </x:c>
      <x:c r="D11" s="7" t="str">
        <x:v>lerato@leratoevents.example</x:v>
      </x:c>
      <x:c r="E11" s="7" t="str">
        <x:v>073 180 6012</x:v>
      </x:c>
      <x:c r="F11" s="7" t="str">
        <x:v>Midrand</x:v>
      </x:c>
      <x:c r="G11" s="7" t="str">
        <x:v>Events</x:v>
      </x:c>
      <x:c r="H11" s="7" t="str">
        <x:v>Lead</x:v>
      </x:c>
      <x:c r="I11" s="8" t="n">
        <x:v>46153</x:v>
      </x:c>
      <x:c r="J11" s="7" t="str">
        <x:v>Follow up after proposal</x:v>
      </x:c>
    </x:row>
    <x:row r="12">
      <x:c r="A12" s="7" t="str">
        <x:v>C-008</x:v>
      </x:c>
      <x:c r="B12" s="7" t="str">
        <x:v>West Coast Tutors</x:v>
      </x:c>
      <x:c r="C12" s="7" t="str">
        <x:v>Sarah Jacobs</x:v>
      </x:c>
      <x:c r="D12" s="7" t="str">
        <x:v>sarah@westcoasttutors.example</x:v>
      </x:c>
      <x:c r="E12" s="7" t="str">
        <x:v>078 422 7310</x:v>
      </x:c>
      <x:c r="F12" s="7" t="str">
        <x:v>Cape Town</x:v>
      </x:c>
      <x:c r="G12" s="7" t="str">
        <x:v>Education</x:v>
      </x:c>
      <x:c r="H12" s="7" t="str">
        <x:v>Active</x:v>
      </x:c>
      <x:c r="I12" s="8" t="n">
        <x:v>46159</x:v>
      </x:c>
      <x:c r="J12" s="7" t="str">
        <x:v>Parent reports each Friday</x:v>
      </x:c>
    </x:row>
    <x:row r="13">
      <x:c r="A13" s="7" t="str">
        <x:v>C-009</x:v>
      </x:c>
      <x:c r="B13" s="7" t="str">
        <x:v>Khayelitsha Kitchens</x:v>
      </x:c>
      <x:c r="C13" s="7" t="str">
        <x:v>Zanele Mayekiso</x:v>
      </x:c>
      <x:c r="D13" s="7" t="str">
        <x:v>zanele@kkitchens.example</x:v>
      </x:c>
      <x:c r="E13" s="7" t="str">
        <x:v>071 560 8044</x:v>
      </x:c>
      <x:c r="F13" s="7" t="str">
        <x:v>Cape Town</x:v>
      </x:c>
      <x:c r="G13" s="7" t="str">
        <x:v>Food</x:v>
      </x:c>
      <x:c r="H13" s="7" t="str">
        <x:v>Active</x:v>
      </x:c>
      <x:c r="I13" s="8" t="n">
        <x:v>46166</x:v>
      </x:c>
      <x:c r="J13" s="7" t="str">
        <x:v>Order exports arrive daily</x:v>
      </x:c>
    </x:row>
    <x:row r="14">
      <x:c r="A14" s="7" t="str">
        <x:v>C-010</x:v>
      </x:c>
      <x:c r="B14" s="7" t="str">
        <x:v>Pretoria Pet Care</x:v>
      </x:c>
      <x:c r="C14" s="7" t="str">
        <x:v>Anika van Wyk</x:v>
      </x:c>
      <x:c r="D14" s="7" t="str">
        <x:v>anika@pretoriapets.example</x:v>
      </x:c>
      <x:c r="E14" s="7" t="str">
        <x:v>084 310 9952</x:v>
      </x:c>
      <x:c r="F14" s="7" t="str">
        <x:v>Pretoria</x:v>
      </x:c>
      <x:c r="G14" s="7" t="str">
        <x:v>Pet Care</x:v>
      </x:c>
      <x:c r="H14" s="7" t="str">
        <x:v>Lead</x:v>
      </x:c>
      <x:c r="I14" s="8" t="n">
        <x:v>46174</x:v>
      </x:c>
      <x:c r="J14" s="7" t="str">
        <x:v>Wants WhatsApp pricing first</x:v>
      </x:c>
    </x:row>
    <x:row r="15">
      <x:c r="A15" s="7" t="str">
        <x:v>C-011</x:v>
      </x:c>
      <x:c r="B15" s="7" t="str">
        <x:v>Vuka Consulting</x:v>
      </x:c>
      <x:c r="C15" s="7" t="str">
        <x:v>Refilwe Seopa</x:v>
      </x:c>
      <x:c r="D15" s="7" t="str">
        <x:v>refilwe@vukaconsulting.example</x:v>
      </x:c>
      <x:c r="E15" s="7" t="str">
        <x:v>082 441 8720</x:v>
      </x:c>
      <x:c r="F15" s="7" t="str">
        <x:v>Sandton</x:v>
      </x:c>
      <x:c r="G15" s="7" t="str">
        <x:v>Consulting</x:v>
      </x:c>
      <x:c r="H15" s="7" t="str">
        <x:v>Active</x:v>
      </x:c>
      <x:c r="I15" s="8" t="n">
        <x:v>46182</x:v>
      </x:c>
      <x:c r="J15" s="7" t="str">
        <x:v>Executive dashboard prospect</x:v>
      </x:c>
    </x:row>
    <x:row r="16">
      <x:c r="A16" s="7" t="str">
        <x:v>C-012</x:v>
      </x:c>
      <x:c r="B16" s="7" t="str">
        <x:v>Durban Design Co</x:v>
      </x:c>
      <x:c r="C16" s="7" t="str">
        <x:v>Priya Naidoo</x:v>
      </x:c>
      <x:c r="D16" s="7" t="str">
        <x:v>priya@durbandesign.example</x:v>
      </x:c>
      <x:c r="E16" s="7" t="str">
        <x:v>074 905 1163</x:v>
      </x:c>
      <x:c r="F16" s="7" t="str">
        <x:v>Durban</x:v>
      </x:c>
      <x:c r="G16" s="7" t="str">
        <x:v>Creative</x:v>
      </x:c>
      <x:c r="H16" s="7" t="str">
        <x:v>Active</x:v>
      </x:c>
      <x:c r="I16" s="8" t="n">
        <x:v>46189</x:v>
      </x:c>
      <x:c r="J16" s="7" t="str">
        <x:v>Shared-drive cleanup</x:v>
      </x:c>
    </x:row>
    <x:row r="17">
      <x:c r="A17" s="7" t="str">
        <x:v>C-013</x:v>
      </x:c>
      <x:c r="B17" s="7" t="str">
        <x:v>Soweto Solar</x:v>
      </x:c>
      <x:c r="C17" s="7" t="str">
        <x:v>Neo Tshabalala</x:v>
      </x:c>
      <x:c r="D17" s="7" t="str">
        <x:v>neo@sowetosolar.example</x:v>
      </x:c>
      <x:c r="E17" s="7" t="str">
        <x:v>083 670 4512</x:v>
      </x:c>
      <x:c r="F17" s="7" t="str">
        <x:v>Soweto</x:v>
      </x:c>
      <x:c r="G17" s="7" t="str">
        <x:v>Energy</x:v>
      </x:c>
      <x:c r="H17" s="7" t="str">
        <x:v>Lead</x:v>
      </x:c>
      <x:c r="I17" s="8" t="n">
        <x:v>46198</x:v>
      </x:c>
      <x:c r="J17" s="7" t="str">
        <x:v>Site inspection scheduling</x:v>
      </x:c>
    </x:row>
    <x:row r="18">
      <x:c r="A18" s="7" t="str">
        <x:v>C-014</x:v>
      </x:c>
      <x:c r="B18" s="7" t="str">
        <x:v>Garden Route Dental</x:v>
      </x:c>
      <x:c r="C18" s="7" t="str">
        <x:v>Dr Emma Smith</x:v>
      </x:c>
      <x:c r="D18" s="7" t="str">
        <x:v>emma@gardendental.example</x:v>
      </x:c>
      <x:c r="E18" s="7" t="str">
        <x:v>072 334 8501</x:v>
      </x:c>
      <x:c r="F18" s="7" t="str">
        <x:v>George</x:v>
      </x:c>
      <x:c r="G18" s="7" t="str">
        <x:v>Healthcare</x:v>
      </x:c>
      <x:c r="H18" s="7" t="str">
        <x:v>Inactive</x:v>
      </x:c>
      <x:c r="I18" s="8" t="n">
        <x:v>46061</x:v>
      </x:c>
      <x:c r="J18" s="7" t="str">
        <x:v>Paused project until Q4</x:v>
      </x:c>
    </x:row>
    <x:row r="19">
      <x:c r="A19" s="7" t="str">
        <x:v>C-015</x:v>
      </x:c>
      <x:c r="B19" s="7" t="str">
        <x:v>Bloem Bookkeeping</x:v>
      </x:c>
      <x:c r="C19" s="7" t="str">
        <x:v>Karabo Mokoena</x:v>
      </x:c>
      <x:c r="D19" s="7" t="str">
        <x:v>karabo@bloembooks.example</x:v>
      </x:c>
      <x:c r="E19" s="7" t="str">
        <x:v>079 222 1376</x:v>
      </x:c>
      <x:c r="F19" s="7" t="str">
        <x:v>Bloemfontein</x:v>
      </x:c>
      <x:c r="G19" s="7" t="str">
        <x:v>Finance</x:v>
      </x:c>
      <x:c r="H19" s="7" t="str">
        <x:v>Active</x:v>
      </x:c>
      <x:c r="I19" s="8" t="n">
        <x:v>46203</x:v>
      </x:c>
      <x:c r="J19" s="7" t="str">
        <x:v>Recurring month-end exports</x:v>
      </x:c>
    </x:row>
  </x:sheetData>
  <x:mergeCells>
    <x:mergeCell ref="A1:J1"/>
    <x:mergeCell ref="A2:H2"/>
  </x:mergeCells>
  <x:conditionalFormatting sqref="H5:H19">
    <x:cfRule type="containsText" dxfId="2" priority="1" operator="containsText" text="Lead"/>
    <x:cfRule type="containsText" dxfId="3" priority="2" operator="containsText" text="Active"/>
  </x:conditionalFormatting>
  <x:dataValidations count="1">
    <x:dataValidation type="list" sqref="H5:H19">
      <x:formula1>"Lead,Active,Inactive"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22f7a2c0f864d2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5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Sales Activity Log</x:v>
      </x:c>
      <x:c r="B1" s="5"/>
      <x:c r="C1" s="5"/>
      <x:c r="D1" s="5"/>
      <x:c r="E1" s="5"/>
      <x:c r="F1" s="5"/>
      <x:c r="G1" s="7"/>
      <x:c r="H1" s="7"/>
    </x:row>
    <x:row r="2" ht="26" customHeight="1">
      <x:c r="A2" s="6" t="str">
        <x:v>Three months of realistic project and recurring revenue</x:v>
      </x:c>
      <x:c r="B2" s="6"/>
      <x:c r="C2" s="6"/>
      <x:c r="D2" s="6"/>
      <x:c r="E2" s="6"/>
      <x:c r="F2" s="6"/>
      <x:c r="G2" s="6"/>
      <x:c r="H2" s="6"/>
    </x:row>
    <x:row r="3">
      <x:c r="A3" s="7"/>
      <x:c r="B3" s="7"/>
      <x:c r="C3" s="7"/>
      <x:c r="D3" s="7"/>
      <x:c r="E3" s="7"/>
      <x:c r="F3" s="7"/>
      <x:c r="G3" s="7"/>
      <x:c r="H3" s="7"/>
    </x:row>
    <x:row r="4" ht="28" customHeight="1">
      <x:c r="A4" s="7" t="str">
        <x:v>Date</x:v>
      </x:c>
      <x:c r="B4" s="7" t="str">
        <x:v>Client</x:v>
      </x:c>
      <x:c r="C4" s="7" t="str">
        <x:v>Service</x:v>
      </x:c>
      <x:c r="D4" s="7" t="str">
        <x:v>Revenue (R)</x:v>
      </x:c>
      <x:c r="E4" s="7" t="str">
        <x:v>Type</x:v>
      </x:c>
      <x:c r="F4" s="7" t="str">
        <x:v>Source</x:v>
      </x:c>
      <x:c r="G4" s="7"/>
      <x:c r="H4" s="7"/>
    </x:row>
    <x:row r="5">
      <x:c r="A5" s="8" t="n">
        <x:v>46115</x:v>
      </x:c>
      <x:c r="B5" s="7" t="str">
        <x:v>Cape Active Fitness</x:v>
      </x:c>
      <x:c r="C5" s="7" t="str">
        <x:v>Reporting</x:v>
      </x:c>
      <x:c r="D5" s="9" t="n">
        <x:v>3200</x:v>
      </x:c>
      <x:c r="E5" s="7" t="str">
        <x:v>New</x:v>
      </x:c>
      <x:c r="F5" s="7" t="str">
        <x:v>Referral</x:v>
      </x:c>
      <x:c r="G5" s="7"/>
      <x:c r="H5" s="7"/>
    </x:row>
    <x:row r="6">
      <x:c r="A6" s="8" t="n">
        <x:v>46124</x:v>
      </x:c>
      <x:c r="B6" s="7" t="str">
        <x:v>Northside Hair Studio</x:v>
      </x:c>
      <x:c r="C6" s="7" t="str">
        <x:v>Admin Automation</x:v>
      </x:c>
      <x:c r="D6" s="9" t="n">
        <x:v>1850</x:v>
      </x:c>
      <x:c r="E6" s="7" t="str">
        <x:v>New</x:v>
      </x:c>
      <x:c r="F6" s="7" t="str">
        <x:v>Instagram</x:v>
      </x:c>
      <x:c r="G6" s="7"/>
      <x:c r="H6" s="7"/>
    </x:row>
    <x:row r="7">
      <x:c r="A7" s="8" t="n">
        <x:v>46140</x:v>
      </x:c>
      <x:c r="B7" s="7" t="str">
        <x:v>Mokoena Repairs</x:v>
      </x:c>
      <x:c r="C7" s="7" t="str">
        <x:v>Website</x:v>
      </x:c>
      <x:c r="D7" s="9" t="n">
        <x:v>4250</x:v>
      </x:c>
      <x:c r="E7" s="7" t="str">
        <x:v>New</x:v>
      </x:c>
      <x:c r="F7" s="7" t="str">
        <x:v>Direct</x:v>
      </x:c>
      <x:c r="G7" s="7"/>
      <x:c r="H7" s="7"/>
    </x:row>
    <x:row r="8">
      <x:c r="A8" s="8" t="n">
        <x:v>46147</x:v>
      </x:c>
      <x:c r="B8" s="7" t="str">
        <x:v>Greenleaf Guesthouse</x:v>
      </x:c>
      <x:c r="C8" s="7" t="str">
        <x:v>Follow-ups</x:v>
      </x:c>
      <x:c r="D8" s="9" t="n">
        <x:v>2100</x:v>
      </x:c>
      <x:c r="E8" s="7" t="str">
        <x:v>New</x:v>
      </x:c>
      <x:c r="F8" s="7" t="str">
        <x:v>Referral</x:v>
      </x:c>
      <x:c r="G8" s="7"/>
      <x:c r="H8" s="7"/>
    </x:row>
    <x:row r="9">
      <x:c r="A9" s="8" t="n">
        <x:v>46151</x:v>
      </x:c>
      <x:c r="B9" s="7" t="str">
        <x:v>Jozi Auto Care</x:v>
      </x:c>
      <x:c r="C9" s="7" t="str">
        <x:v>Follow-ups</x:v>
      </x:c>
      <x:c r="D9" s="9" t="n">
        <x:v>2750</x:v>
      </x:c>
      <x:c r="E9" s="7" t="str">
        <x:v>New</x:v>
      </x:c>
      <x:c r="F9" s="7" t="str">
        <x:v>Google</x:v>
      </x:c>
      <x:c r="G9" s="7"/>
      <x:c r="H9" s="7"/>
    </x:row>
    <x:row r="10">
      <x:c r="A10" s="8" t="n">
        <x:v>46160</x:v>
      </x:c>
      <x:c r="B10" s="7" t="str">
        <x:v>Cape Active Fitness</x:v>
      </x:c>
      <x:c r="C10" s="7" t="str">
        <x:v>Reporting</x:v>
      </x:c>
      <x:c r="D10" s="9" t="n">
        <x:v>1200</x:v>
      </x:c>
      <x:c r="E10" s="7" t="str">
        <x:v>Recurring</x:v>
      </x:c>
      <x:c r="F10" s="7" t="str">
        <x:v>Direct</x:v>
      </x:c>
      <x:c r="G10" s="7"/>
      <x:c r="H10" s="7"/>
    </x:row>
    <x:row r="11">
      <x:c r="A11" s="8" t="n">
        <x:v>46168</x:v>
      </x:c>
      <x:c r="B11" s="7" t="str">
        <x:v>Khayelitsha Kitchens</x:v>
      </x:c>
      <x:c r="C11" s="7" t="str">
        <x:v>Data Filing</x:v>
      </x:c>
      <x:c r="D11" s="9" t="n">
        <x:v>1250</x:v>
      </x:c>
      <x:c r="E11" s="7" t="str">
        <x:v>New</x:v>
      </x:c>
      <x:c r="F11" s="7" t="str">
        <x:v>Referral</x:v>
      </x:c>
      <x:c r="G11" s="7"/>
      <x:c r="H11" s="7"/>
    </x:row>
    <x:row r="12">
      <x:c r="A12" s="8" t="n">
        <x:v>46175</x:v>
      </x:c>
      <x:c r="B12" s="7" t="str">
        <x:v>West Coast Tutors</x:v>
      </x:c>
      <x:c r="C12" s="7" t="str">
        <x:v>Reporting</x:v>
      </x:c>
      <x:c r="D12" s="9" t="n">
        <x:v>3600</x:v>
      </x:c>
      <x:c r="E12" s="7" t="str">
        <x:v>New</x:v>
      </x:c>
      <x:c r="F12" s="7" t="str">
        <x:v>LinkedIn</x:v>
      </x:c>
      <x:c r="G12" s="7"/>
      <x:c r="H12" s="7"/>
    </x:row>
    <x:row r="13">
      <x:c r="A13" s="8" t="n">
        <x:v>46181</x:v>
      </x:c>
      <x:c r="B13" s="7" t="str">
        <x:v>Durban Design Co</x:v>
      </x:c>
      <x:c r="C13" s="7" t="str">
        <x:v>Data Filing</x:v>
      </x:c>
      <x:c r="D13" s="9" t="n">
        <x:v>1650</x:v>
      </x:c>
      <x:c r="E13" s="7" t="str">
        <x:v>New</x:v>
      </x:c>
      <x:c r="F13" s="7" t="str">
        <x:v>Instagram</x:v>
      </x:c>
      <x:c r="G13" s="7"/>
      <x:c r="H13" s="7"/>
    </x:row>
    <x:row r="14">
      <x:c r="A14" s="8" t="n">
        <x:v>46187</x:v>
      </x:c>
      <x:c r="B14" s="7" t="str">
        <x:v>Greenleaf Guesthouse</x:v>
      </x:c>
      <x:c r="C14" s="7" t="str">
        <x:v>Follow-ups</x:v>
      </x:c>
      <x:c r="D14" s="9" t="n">
        <x:v>900</x:v>
      </x:c>
      <x:c r="E14" s="7" t="str">
        <x:v>Recurring</x:v>
      </x:c>
      <x:c r="F14" s="7" t="str">
        <x:v>Direct</x:v>
      </x:c>
      <x:c r="G14" s="7"/>
      <x:c r="H14" s="7"/>
    </x:row>
    <x:row r="15">
      <x:c r="A15" s="8" t="n">
        <x:v>46193</x:v>
      </x:c>
      <x:c r="B15" s="7" t="str">
        <x:v>Mokoena Repairs</x:v>
      </x:c>
      <x:c r="C15" s="7" t="str">
        <x:v>Admin Automation</x:v>
      </x:c>
      <x:c r="D15" s="9" t="n">
        <x:v>1100</x:v>
      </x:c>
      <x:c r="E15" s="7" t="str">
        <x:v>Recurring</x:v>
      </x:c>
      <x:c r="F15" s="7" t="str">
        <x:v>Direct</x:v>
      </x:c>
      <x:c r="G15" s="7"/>
      <x:c r="H15" s="7"/>
    </x:row>
    <x:row r="16">
      <x:c r="A16" s="8" t="n">
        <x:v>46200</x:v>
      </x:c>
      <x:c r="B16" s="7" t="str">
        <x:v>Bloem Bookkeeping</x:v>
      </x:c>
      <x:c r="C16" s="7" t="str">
        <x:v>Data Filing</x:v>
      </x:c>
      <x:c r="D16" s="9" t="n">
        <x:v>2300</x:v>
      </x:c>
      <x:c r="E16" s="7" t="str">
        <x:v>New</x:v>
      </x:c>
      <x:c r="F16" s="7" t="str">
        <x:v>Referral</x:v>
      </x:c>
      <x:c r="G16" s="7"/>
      <x:c r="H16" s="7"/>
    </x:row>
    <x:row r="17">
      <x:c r="A17" s="8" t="n">
        <x:v>46204</x:v>
      </x:c>
      <x:c r="B17" s="7" t="str">
        <x:v>Pretoria Pet Care</x:v>
      </x:c>
      <x:c r="C17" s="7" t="str">
        <x:v>Admin Automation</x:v>
      </x:c>
      <x:c r="D17" s="9" t="n">
        <x:v>2200</x:v>
      </x:c>
      <x:c r="E17" s="7" t="str">
        <x:v>New</x:v>
      </x:c>
      <x:c r="F17" s="7" t="str">
        <x:v>Google</x:v>
      </x:c>
      <x:c r="G17" s="7"/>
      <x:c r="H17" s="7"/>
    </x:row>
    <x:row r="18">
      <x:c r="A18" s="8" t="n">
        <x:v>46205</x:v>
      </x:c>
      <x:c r="B18" s="7" t="str">
        <x:v>Jozi Auto Care</x:v>
      </x:c>
      <x:c r="C18" s="7" t="str">
        <x:v>Follow-ups</x:v>
      </x:c>
      <x:c r="D18" s="9" t="n">
        <x:v>950</x:v>
      </x:c>
      <x:c r="E18" s="7" t="str">
        <x:v>Recurring</x:v>
      </x:c>
      <x:c r="F18" s="7" t="str">
        <x:v>Direct</x:v>
      </x:c>
      <x:c r="G18" s="7"/>
      <x:c r="H18" s="7"/>
    </x:row>
    <x:row r="19">
      <x:c r="A19" s="8" t="n">
        <x:v>46206</x:v>
      </x:c>
      <x:c r="B19" s="7" t="str">
        <x:v>Vuka Consulting</x:v>
      </x:c>
      <x:c r="C19" s="7" t="str">
        <x:v>Dashboard</x:v>
      </x:c>
      <x:c r="D19" s="9" t="n">
        <x:v>4800</x:v>
      </x:c>
      <x:c r="E19" s="7" t="str">
        <x:v>New</x:v>
      </x:c>
      <x:c r="F19" s="7" t="str">
        <x:v>LinkedIn</x:v>
      </x:c>
      <x:c r="G19" s="7"/>
      <x:c r="H19" s="7"/>
    </x:row>
    <x:row r="20">
      <x:c r="A20" s="8" t="n">
        <x:v>46207</x:v>
      </x:c>
      <x:c r="B20" s="7" t="str">
        <x:v>Northside Hair Studio</x:v>
      </x:c>
      <x:c r="C20" s="7" t="str">
        <x:v>Admin Automation</x:v>
      </x:c>
      <x:c r="D20" s="9" t="n">
        <x:v>700</x:v>
      </x:c>
      <x:c r="E20" s="7" t="str">
        <x:v>Recurring</x:v>
      </x:c>
      <x:c r="F20" s="7" t="str">
        <x:v>Direct</x:v>
      </x:c>
      <x:c r="G20" s="7"/>
      <x:c r="H20" s="7"/>
    </x:row>
    <x:row r="21">
      <x:c r="A21" s="8" t="n">
        <x:v>46208</x:v>
      </x:c>
      <x:c r="B21" s="7" t="str">
        <x:v>Khayelitsha Kitchens</x:v>
      </x:c>
      <x:c r="C21" s="7" t="str">
        <x:v>Data Filing</x:v>
      </x:c>
      <x:c r="D21" s="9" t="n">
        <x:v>850</x:v>
      </x:c>
      <x:c r="E21" s="7" t="str">
        <x:v>Recurring</x:v>
      </x:c>
      <x:c r="F21" s="7" t="str">
        <x:v>Direct</x:v>
      </x:c>
      <x:c r="G21" s="7"/>
      <x:c r="H21" s="7"/>
    </x:row>
    <x:row r="22">
      <x:c r="A22" s="8" t="n">
        <x:v>46209</x:v>
      </x:c>
      <x:c r="B22" s="7" t="str">
        <x:v>Lerato Events</x:v>
      </x:c>
      <x:c r="C22" s="7" t="str">
        <x:v>Spreadsheet Cleanup</x:v>
      </x:c>
      <x:c r="D22" s="9" t="n">
        <x:v>1450</x:v>
      </x:c>
      <x:c r="E22" s="7" t="str">
        <x:v>New</x:v>
      </x:c>
      <x:c r="F22" s="7" t="str">
        <x:v>Instagram</x:v>
      </x:c>
      <x:c r="G22" s="7"/>
      <x:c r="H22" s="7"/>
    </x:row>
  </x:sheetData>
  <x:mergeCells>
    <x:mergeCell ref="A1:F1"/>
    <x:mergeCell ref="A2:H2"/>
  </x:mergeCells>
  <x:pageMargins left="0.7" right="0.7" top="0.75" bottom="0.75" header="0.3" footer="0.3"/>
  <x:tableParts count="1">
    <x:tablePart xmlns:r="http://schemas.openxmlformats.org/officeDocument/2006/relationships" r:id="Rf1b056b2a8984bcc"/>
  </x:tableParts>
</x:worksheet>
</file>